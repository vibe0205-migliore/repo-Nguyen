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dig\machines_spec-drawings\Fully-opening_Bucket\00-DOCS\"/>
    </mc:Choice>
  </mc:AlternateContent>
  <xr:revisionPtr revIDLastSave="0" documentId="13_ncr:1_{C311B356-D7F4-4E06-9996-E8D21EAC0369}" xr6:coauthVersionLast="47" xr6:coauthVersionMax="47" xr10:uidLastSave="{00000000-0000-0000-0000-000000000000}"/>
  <bookViews>
    <workbookView xWindow="-120" yWindow="-120" windowWidth="29040" windowHeight="15720" xr2:uid="{A3556D3B-2145-481B-A081-337E98A202A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S17" i="1" s="1"/>
  <c r="S7" i="1"/>
  <c r="S8" i="1" s="1"/>
  <c r="S10" i="1" s="1"/>
  <c r="O15" i="1"/>
  <c r="O17" i="1" s="1"/>
  <c r="O7" i="1"/>
  <c r="O8" i="1" s="1"/>
  <c r="O10" i="1" s="1"/>
  <c r="S18" i="1" l="1"/>
  <c r="S19" i="1" s="1"/>
  <c r="S20" i="1" s="1"/>
  <c r="O18" i="1"/>
  <c r="O19" i="1" s="1"/>
  <c r="O20" i="1" s="1"/>
</calcChain>
</file>

<file path=xl/sharedStrings.xml><?xml version="1.0" encoding="utf-8"?>
<sst xmlns="http://schemas.openxmlformats.org/spreadsheetml/2006/main" count="45" uniqueCount="25">
  <si>
    <t>m2</t>
  </si>
  <si>
    <t>m3</t>
  </si>
  <si>
    <t>kg/m3</t>
  </si>
  <si>
    <t>kg/min</t>
  </si>
  <si>
    <t>m</t>
  </si>
  <si>
    <t>altezza</t>
  </si>
  <si>
    <t>base 1</t>
  </si>
  <si>
    <t>base 2</t>
  </si>
  <si>
    <t>sezione</t>
  </si>
  <si>
    <t>volume</t>
  </si>
  <si>
    <t>p.s.</t>
  </si>
  <si>
    <t>q.tà</t>
  </si>
  <si>
    <t>kg/h</t>
  </si>
  <si>
    <t>kg</t>
  </si>
  <si>
    <t>assestamento</t>
  </si>
  <si>
    <t>apertura</t>
  </si>
  <si>
    <t>chiusura</t>
  </si>
  <si>
    <t>tempo ciclo</t>
  </si>
  <si>
    <t>n° pesate/min</t>
  </si>
  <si>
    <t>sec</t>
  </si>
  <si>
    <t>q.tà pesata/min</t>
  </si>
  <si>
    <t>q.tà pesata/h singolo gruppo</t>
  </si>
  <si>
    <t>q.tà pesata/h gruppo completo</t>
  </si>
  <si>
    <t>grandi portate</t>
  </si>
  <si>
    <t>alternativa a AR_serie-S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</si>
</sst>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90D0-0EDE-41FC-ACCD-C85CD7C5F774}">
  <dimension ref="N3:T20"/>
  <sheetViews>
    <sheetView tabSelected="1" workbookViewId="0">
      <selection activeCell="S18" sqref="S18"/>
    </sheetView>
  </sheetViews>
  <sheetFormatPr defaultRowHeight="15" x14ac:dyDescent="0.25"/>
  <cols>
    <col min="14" max="14" width="9.140625" style="1"/>
    <col min="19" max="20" width="10.7109375" customWidth="1"/>
  </cols>
  <sheetData>
    <row r="3" spans="14:20" x14ac:dyDescent="0.25">
      <c r="O3" s="3" t="s">
        <v>23</v>
      </c>
      <c r="P3" s="3"/>
      <c r="S3" s="3" t="s">
        <v>24</v>
      </c>
      <c r="T3" s="3"/>
    </row>
    <row r="4" spans="14:20" x14ac:dyDescent="0.25">
      <c r="N4" s="1" t="s">
        <v>5</v>
      </c>
      <c r="O4">
        <v>1</v>
      </c>
      <c r="P4" t="s">
        <v>4</v>
      </c>
      <c r="S4">
        <v>1</v>
      </c>
      <c r="T4" t="s">
        <v>4</v>
      </c>
    </row>
    <row r="5" spans="14:20" x14ac:dyDescent="0.25">
      <c r="N5" s="1" t="s">
        <v>6</v>
      </c>
      <c r="O5">
        <v>0.4</v>
      </c>
      <c r="P5" t="s">
        <v>4</v>
      </c>
      <c r="S5">
        <v>0.15</v>
      </c>
      <c r="T5" t="s">
        <v>4</v>
      </c>
    </row>
    <row r="6" spans="14:20" x14ac:dyDescent="0.25">
      <c r="N6" s="1" t="s">
        <v>7</v>
      </c>
      <c r="O6">
        <v>0.8</v>
      </c>
      <c r="P6" t="s">
        <v>4</v>
      </c>
      <c r="S6">
        <v>0.3</v>
      </c>
      <c r="T6" t="s">
        <v>4</v>
      </c>
    </row>
    <row r="7" spans="14:20" x14ac:dyDescent="0.25">
      <c r="N7" s="1" t="s">
        <v>8</v>
      </c>
      <c r="O7">
        <f>+O6*O5</f>
        <v>0.32000000000000006</v>
      </c>
      <c r="P7" t="s">
        <v>0</v>
      </c>
      <c r="S7">
        <f>+S6*S5</f>
        <v>4.4999999999999998E-2</v>
      </c>
      <c r="T7" t="s">
        <v>0</v>
      </c>
    </row>
    <row r="8" spans="14:20" x14ac:dyDescent="0.25">
      <c r="N8" s="1" t="s">
        <v>9</v>
      </c>
      <c r="O8">
        <f>+O7*O4</f>
        <v>0.32000000000000006</v>
      </c>
      <c r="P8" t="s">
        <v>1</v>
      </c>
      <c r="S8">
        <f>+S7*S4</f>
        <v>4.4999999999999998E-2</v>
      </c>
      <c r="T8" t="s">
        <v>1</v>
      </c>
    </row>
    <row r="9" spans="14:20" x14ac:dyDescent="0.25">
      <c r="N9" s="1" t="s">
        <v>10</v>
      </c>
      <c r="O9">
        <v>700</v>
      </c>
      <c r="P9" t="s">
        <v>2</v>
      </c>
      <c r="S9">
        <v>700</v>
      </c>
      <c r="T9" t="s">
        <v>2</v>
      </c>
    </row>
    <row r="10" spans="14:20" x14ac:dyDescent="0.25">
      <c r="N10" s="1" t="s">
        <v>11</v>
      </c>
      <c r="O10">
        <f>+O8*O9</f>
        <v>224.00000000000006</v>
      </c>
      <c r="P10" t="s">
        <v>13</v>
      </c>
      <c r="S10">
        <f>+S8*S9</f>
        <v>31.5</v>
      </c>
      <c r="T10" t="s">
        <v>13</v>
      </c>
    </row>
    <row r="12" spans="14:20" x14ac:dyDescent="0.25">
      <c r="N12" s="1" t="s">
        <v>14</v>
      </c>
      <c r="O12">
        <v>4</v>
      </c>
      <c r="P12" t="s">
        <v>19</v>
      </c>
      <c r="S12">
        <v>3.5</v>
      </c>
      <c r="T12" t="s">
        <v>19</v>
      </c>
    </row>
    <row r="13" spans="14:20" x14ac:dyDescent="0.25">
      <c r="N13" s="1" t="s">
        <v>15</v>
      </c>
      <c r="O13">
        <v>4</v>
      </c>
      <c r="P13" t="s">
        <v>19</v>
      </c>
      <c r="S13">
        <v>3.5</v>
      </c>
      <c r="T13" t="s">
        <v>19</v>
      </c>
    </row>
    <row r="14" spans="14:20" x14ac:dyDescent="0.25">
      <c r="N14" s="1" t="s">
        <v>16</v>
      </c>
      <c r="O14">
        <v>4</v>
      </c>
      <c r="P14" t="s">
        <v>19</v>
      </c>
      <c r="S14">
        <v>3.5</v>
      </c>
      <c r="T14" t="s">
        <v>19</v>
      </c>
    </row>
    <row r="15" spans="14:20" x14ac:dyDescent="0.25">
      <c r="N15" s="1" t="s">
        <v>17</v>
      </c>
      <c r="O15">
        <f>+O12+O13+O14</f>
        <v>12</v>
      </c>
      <c r="P15" t="s">
        <v>19</v>
      </c>
      <c r="S15">
        <f>+S12+S13+S14</f>
        <v>10.5</v>
      </c>
      <c r="T15" t="s">
        <v>19</v>
      </c>
    </row>
    <row r="17" spans="14:20" x14ac:dyDescent="0.25">
      <c r="N17" s="1" t="s">
        <v>18</v>
      </c>
      <c r="O17" s="1">
        <f>60/O15</f>
        <v>5</v>
      </c>
      <c r="S17" s="4">
        <f>60/S15</f>
        <v>5.7142857142857144</v>
      </c>
    </row>
    <row r="18" spans="14:20" x14ac:dyDescent="0.25">
      <c r="N18" s="1" t="s">
        <v>20</v>
      </c>
      <c r="O18" s="2">
        <f>+O10*O17</f>
        <v>1120.0000000000002</v>
      </c>
      <c r="P18" t="s">
        <v>3</v>
      </c>
      <c r="S18" s="2">
        <f>+S10*S17</f>
        <v>180</v>
      </c>
      <c r="T18" t="s">
        <v>3</v>
      </c>
    </row>
    <row r="19" spans="14:20" x14ac:dyDescent="0.25">
      <c r="N19" s="1" t="s">
        <v>21</v>
      </c>
      <c r="O19" s="2">
        <f>+O18*60</f>
        <v>67200.000000000015</v>
      </c>
      <c r="P19" t="s">
        <v>12</v>
      </c>
      <c r="S19" s="2">
        <f>+S18*60</f>
        <v>10800</v>
      </c>
      <c r="T19" t="s">
        <v>12</v>
      </c>
    </row>
    <row r="20" spans="14:20" x14ac:dyDescent="0.25">
      <c r="N20" s="1" t="s">
        <v>22</v>
      </c>
      <c r="O20" s="2">
        <f>+O19*2</f>
        <v>134400.00000000003</v>
      </c>
      <c r="P20" t="s">
        <v>12</v>
      </c>
      <c r="S20" s="2">
        <f>+S19*2</f>
        <v>21600</v>
      </c>
      <c r="T20" t="s">
        <v>12</v>
      </c>
    </row>
  </sheetData>
  <mergeCells count="2">
    <mergeCell ref="O3:P3"/>
    <mergeCell ref="S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Lodigiani</dc:creator>
  <cp:lastModifiedBy>Luciano Lodigiani</cp:lastModifiedBy>
  <dcterms:created xsi:type="dcterms:W3CDTF">2026-03-17T15:59:29Z</dcterms:created>
  <dcterms:modified xsi:type="dcterms:W3CDTF">2026-03-18T13:31:21Z</dcterms:modified>
</cp:coreProperties>
</file>